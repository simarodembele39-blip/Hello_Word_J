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omputer House\Desktop\"/>
    </mc:Choice>
  </mc:AlternateContent>
  <xr:revisionPtr revIDLastSave="0" documentId="13_ncr:1_{CE8F92EE-8A62-459C-992E-D1D0D9B6ADB2}" xr6:coauthVersionLast="47" xr6:coauthVersionMax="47" xr10:uidLastSave="{00000000-0000-0000-0000-000000000000}"/>
  <bookViews>
    <workbookView xWindow="-120" yWindow="-120" windowWidth="20730" windowHeight="11160" activeTab="1" xr2:uid="{D419C293-E6D7-4E00-A2C2-CBF357AD10CD}"/>
  </bookViews>
  <sheets>
    <sheet name="PROFILE DE CHARGE" sheetId="1" r:id="rId1"/>
    <sheet name="CONSOMMATION PAR POSTE " sheetId="2" r:id="rId2"/>
    <sheet name="ENSOLEILLEMENT VS MOIS" sheetId="3" r:id="rId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4" i="3" l="1"/>
  <c r="F24" i="3"/>
  <c r="H22" i="3"/>
  <c r="F22" i="3"/>
  <c r="H21" i="3"/>
  <c r="F21" i="3"/>
  <c r="H20" i="3"/>
  <c r="H19" i="3"/>
  <c r="F20" i="3"/>
  <c r="F19" i="3"/>
  <c r="F7" i="1"/>
  <c r="G7" i="1"/>
  <c r="H7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Z7" i="1"/>
  <c r="AA7" i="1"/>
  <c r="AB7" i="1"/>
  <c r="E7" i="1"/>
  <c r="G8" i="1"/>
  <c r="H8" i="1" s="1"/>
  <c r="I8" i="1" s="1"/>
  <c r="J8" i="1" s="1"/>
  <c r="K8" i="1" s="1"/>
  <c r="L8" i="1" s="1"/>
  <c r="M8" i="1" s="1"/>
  <c r="N8" i="1" s="1"/>
  <c r="O8" i="1" s="1"/>
  <c r="P8" i="1" s="1"/>
  <c r="Q8" i="1" s="1"/>
  <c r="R8" i="1" s="1"/>
  <c r="S8" i="1" s="1"/>
  <c r="T8" i="1" s="1"/>
  <c r="U8" i="1" s="1"/>
  <c r="V8" i="1" s="1"/>
  <c r="W8" i="1" s="1"/>
  <c r="X8" i="1" s="1"/>
  <c r="Y8" i="1" s="1"/>
  <c r="Z8" i="1" s="1"/>
  <c r="AA8" i="1" s="1"/>
  <c r="AB8" i="1" s="1"/>
</calcChain>
</file>

<file path=xl/sharedStrings.xml><?xml version="1.0" encoding="utf-8"?>
<sst xmlns="http://schemas.openxmlformats.org/spreadsheetml/2006/main" count="38" uniqueCount="31">
  <si>
    <t>CHARGE</t>
  </si>
  <si>
    <t>PUISSANCE</t>
  </si>
  <si>
    <t>Profil de charge</t>
  </si>
  <si>
    <t>Heure</t>
  </si>
  <si>
    <t>LAMPE(ext)</t>
  </si>
  <si>
    <t>LAMPE (int)</t>
  </si>
  <si>
    <t>PETRIN</t>
  </si>
  <si>
    <t>FACONNAGE DE BOULANGERIE</t>
  </si>
  <si>
    <t>FRIGO</t>
  </si>
  <si>
    <t>MOIS</t>
  </si>
  <si>
    <t>Irradiation globale (kWh/m2/Jour</t>
  </si>
  <si>
    <t>Température °C</t>
  </si>
  <si>
    <t>Janvier</t>
  </si>
  <si>
    <t>Février</t>
  </si>
  <si>
    <t>Mars</t>
  </si>
  <si>
    <t>Avril</t>
  </si>
  <si>
    <t>Mai</t>
  </si>
  <si>
    <t>Juin</t>
  </si>
  <si>
    <t>Juillet</t>
  </si>
  <si>
    <t>Août</t>
  </si>
  <si>
    <t>Septembre</t>
  </si>
  <si>
    <t>Octobre</t>
  </si>
  <si>
    <t>Novembre</t>
  </si>
  <si>
    <t>Décembre</t>
  </si>
  <si>
    <t>IR (Maxi)</t>
  </si>
  <si>
    <t>IR (Min)</t>
  </si>
  <si>
    <t>tmax</t>
  </si>
  <si>
    <t>tmin</t>
  </si>
  <si>
    <t>ecart moyens</t>
  </si>
  <si>
    <t>moyenne</t>
  </si>
  <si>
    <t>LAMPES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</si>
</sst>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dk1"/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fr-FR"/>
              <a:t>Répartition de la consomation par poste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dk1"/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2.3624169283297882E-2"/>
          <c:y val="0.24115742885080543"/>
          <c:w val="0.93888888888888888"/>
          <c:h val="0.6714577865266842"/>
        </c:manualLayout>
      </c:layout>
      <c:pie3D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4-F302-43B0-9E70-3F50F3E8AC8E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F302-43B0-9E70-3F50F3E8AC8E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F302-43B0-9E70-3F50F3E8AC8E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2-F302-43B0-9E70-3F50F3E8AC8E}"/>
              </c:ext>
            </c:extLst>
          </c:dPt>
          <c:dLbls>
            <c:dLbl>
              <c:idx val="1"/>
              <c:layout>
                <c:manualLayout>
                  <c:x val="0.19003103980653635"/>
                  <c:y val="-0.13071882558797798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302-43B0-9E70-3F50F3E8AC8E}"/>
                </c:ext>
              </c:extLst>
            </c:dLbl>
            <c:dLbl>
              <c:idx val="2"/>
              <c:layout>
                <c:manualLayout>
                  <c:x val="-6.6458971478733392E-2"/>
                  <c:y val="-2.1241830065359478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302-43B0-9E70-3F50F3E8AC8E}"/>
                </c:ext>
              </c:extLst>
            </c:dLbl>
            <c:dLbl>
              <c:idx val="3"/>
              <c:layout>
                <c:manualLayout>
                  <c:x val="-2.4922114304525015E-2"/>
                  <c:y val="-1.9607843137254916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302-43B0-9E70-3F50F3E8AC8E}"/>
                </c:ext>
              </c:extLst>
            </c:dLbl>
            <c:spPr>
              <a:solidFill>
                <a:sysClr val="window" lastClr="FFFFFF"/>
              </a:solidFill>
              <a:ln>
                <a:noFill/>
              </a:ln>
              <a:effectLst/>
            </c:spPr>
            <c:txPr>
              <a:bodyPr rot="0" spcFirstLastPara="1" vertOverflow="clip" horzOverflow="clip" vert="horz" wrap="square" lIns="36576" tIns="18288" rIns="36576" bIns="18288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'CONSOMMATION PAR POSTE '!$A$2:$A$5</c:f>
              <c:strCache>
                <c:ptCount val="4"/>
                <c:pt idx="0">
                  <c:v>LAMPES</c:v>
                </c:pt>
                <c:pt idx="1">
                  <c:v>PETRIN</c:v>
                </c:pt>
                <c:pt idx="2">
                  <c:v>FACONNAGE DE BOULANGERIE</c:v>
                </c:pt>
                <c:pt idx="3">
                  <c:v>FRIGO</c:v>
                </c:pt>
              </c:strCache>
            </c:strRef>
          </c:cat>
          <c:val>
            <c:numRef>
              <c:f>'CONSOMMATION PAR POSTE '!$B$2:$B$5</c:f>
              <c:numCache>
                <c:formatCode>General</c:formatCode>
                <c:ptCount val="4"/>
                <c:pt idx="0">
                  <c:v>3600</c:v>
                </c:pt>
                <c:pt idx="1">
                  <c:v>96000</c:v>
                </c:pt>
                <c:pt idx="2">
                  <c:v>6000</c:v>
                </c:pt>
                <c:pt idx="3">
                  <c:v>11040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302-43B0-9E70-3F50F3E8AC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pie3D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4.916884585263475E-2"/>
          <c:y val="0.90890484277700578"/>
          <c:w val="0.89335493685988898"/>
          <c:h val="7.148731408573927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accent4">
            <a:lumMod val="110000"/>
            <a:satMod val="105000"/>
            <a:tint val="67000"/>
          </a:schemeClr>
        </a:gs>
        <a:gs pos="50000">
          <a:schemeClr val="accent4">
            <a:lumMod val="105000"/>
            <a:satMod val="103000"/>
            <a:tint val="73000"/>
          </a:schemeClr>
        </a:gs>
        <a:gs pos="100000">
          <a:schemeClr val="accent4">
            <a:lumMod val="105000"/>
            <a:satMod val="109000"/>
            <a:tint val="81000"/>
          </a:schemeClr>
        </a:gs>
      </a:gsLst>
      <a:lin ang="5400000" scaled="0"/>
      <a:tileRect/>
    </a:gradFill>
    <a:ln w="6350" cap="flat" cmpd="sng" algn="ctr">
      <a:solidFill>
        <a:schemeClr val="accent4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'ENSOLEILLEMENT VS MOIS'!$A$2:$A$13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</c:v>
                </c:pt>
                <c:pt idx="3">
                  <c:v>Avril</c:v>
                </c:pt>
                <c:pt idx="4">
                  <c:v>Mai</c:v>
                </c:pt>
                <c:pt idx="5">
                  <c:v>Juin</c:v>
                </c:pt>
                <c:pt idx="6">
                  <c:v>Juillet</c:v>
                </c:pt>
                <c:pt idx="7">
                  <c:v>Août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'ENSOLEILLEMENT VS MOIS'!$B$2:$B$13</c:f>
              <c:numCache>
                <c:formatCode>General</c:formatCode>
                <c:ptCount val="12"/>
                <c:pt idx="0">
                  <c:v>5.25</c:v>
                </c:pt>
                <c:pt idx="1">
                  <c:v>5.91</c:v>
                </c:pt>
                <c:pt idx="2">
                  <c:v>6.51</c:v>
                </c:pt>
                <c:pt idx="3">
                  <c:v>6.75</c:v>
                </c:pt>
                <c:pt idx="4">
                  <c:v>6.67</c:v>
                </c:pt>
                <c:pt idx="5">
                  <c:v>5.9</c:v>
                </c:pt>
                <c:pt idx="6">
                  <c:v>5.28</c:v>
                </c:pt>
                <c:pt idx="7">
                  <c:v>5.19</c:v>
                </c:pt>
                <c:pt idx="8">
                  <c:v>5.35</c:v>
                </c:pt>
                <c:pt idx="9">
                  <c:v>5.45</c:v>
                </c:pt>
                <c:pt idx="10">
                  <c:v>5.42</c:v>
                </c:pt>
                <c:pt idx="11">
                  <c:v>5.1100000000000003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3B6-4C04-BF54-7B6C4D3A506F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520306016"/>
        <c:axId val="520301216"/>
      </c:lineChart>
      <c:catAx>
        <c:axId val="5203060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20301216"/>
        <c:crosses val="autoZero"/>
        <c:auto val="0"/>
        <c:lblAlgn val="ctr"/>
        <c:lblOffset val="100"/>
        <c:noMultiLvlLbl val="0"/>
      </c:catAx>
      <c:valAx>
        <c:axId val="520301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IR</a:t>
                </a:r>
                <a:r>
                  <a:rPr lang="fr-FR" baseline="0"/>
                  <a:t> (kWh/m</a:t>
                </a:r>
                <a:r>
                  <a:rPr lang="fr-FR" baseline="30000"/>
                  <a:t>2</a:t>
                </a:r>
                <a:r>
                  <a:rPr lang="fr-FR" baseline="0"/>
                  <a:t>/Jour)</a:t>
                </a:r>
                <a:endParaRPr lang="fr-FR"/>
              </a:p>
            </c:rich>
          </c:tx>
          <c:layout>
            <c:manualLayout>
              <c:xMode val="edge"/>
              <c:yMode val="edge"/>
              <c:x val="1.9444546175914058E-2"/>
              <c:y val="0.2780421556201125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203060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rotWithShape="1">
      <a:gsLst>
        <a:gs pos="0">
          <a:schemeClr val="accent3">
            <a:lumMod val="110000"/>
            <a:satMod val="105000"/>
            <a:tint val="67000"/>
          </a:schemeClr>
        </a:gs>
        <a:gs pos="50000">
          <a:schemeClr val="accent3">
            <a:lumMod val="105000"/>
            <a:satMod val="103000"/>
            <a:tint val="73000"/>
          </a:schemeClr>
        </a:gs>
        <a:gs pos="100000">
          <a:schemeClr val="accent3">
            <a:lumMod val="105000"/>
            <a:satMod val="109000"/>
            <a:tint val="81000"/>
          </a:schemeClr>
        </a:gs>
      </a:gsLst>
      <a:lin ang="5400000" scaled="0"/>
    </a:gradFill>
    <a:ln w="6350" cap="flat" cmpd="sng" algn="ctr">
      <a:solidFill>
        <a:srgbClr val="00B050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cked"/>
        <c:varyColors val="0"/>
        <c:ser>
          <c:idx val="0"/>
          <c:order val="0"/>
          <c:spPr>
            <a:ln w="34925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errBars>
            <c:errDir val="y"/>
            <c:errBarType val="both"/>
            <c:errValType val="stdErr"/>
            <c:noEndCap val="0"/>
            <c:spPr>
              <a:noFill/>
              <a:ln w="9525">
                <a:solidFill>
                  <a:schemeClr val="accent1">
                    <a:lumMod val="60000"/>
                    <a:lumOff val="40000"/>
                  </a:schemeClr>
                </a:solidFill>
                <a:round/>
              </a:ln>
              <a:effectLst>
                <a:glow rad="25400">
                  <a:schemeClr val="lt1"/>
                </a:glow>
              </a:effectLst>
            </c:spPr>
          </c:errBars>
          <c:cat>
            <c:strRef>
              <c:f>'ENSOLEILLEMENT VS MOIS'!$A$2:$A$13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</c:v>
                </c:pt>
                <c:pt idx="3">
                  <c:v>Avril</c:v>
                </c:pt>
                <c:pt idx="4">
                  <c:v>Mai</c:v>
                </c:pt>
                <c:pt idx="5">
                  <c:v>Juin</c:v>
                </c:pt>
                <c:pt idx="6">
                  <c:v>Juillet</c:v>
                </c:pt>
                <c:pt idx="7">
                  <c:v>Août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'ENSOLEILLEMENT VS MOIS'!$C$2:$C$13</c:f>
              <c:numCache>
                <c:formatCode>General</c:formatCode>
                <c:ptCount val="12"/>
                <c:pt idx="0">
                  <c:v>25.3</c:v>
                </c:pt>
                <c:pt idx="1">
                  <c:v>27.6</c:v>
                </c:pt>
                <c:pt idx="2">
                  <c:v>30.2</c:v>
                </c:pt>
                <c:pt idx="3">
                  <c:v>32.6</c:v>
                </c:pt>
                <c:pt idx="4">
                  <c:v>32.6</c:v>
                </c:pt>
                <c:pt idx="5">
                  <c:v>28.5</c:v>
                </c:pt>
                <c:pt idx="6">
                  <c:v>25.6</c:v>
                </c:pt>
                <c:pt idx="7">
                  <c:v>25.3</c:v>
                </c:pt>
                <c:pt idx="8">
                  <c:v>25.8</c:v>
                </c:pt>
                <c:pt idx="9">
                  <c:v>27.6</c:v>
                </c:pt>
                <c:pt idx="10">
                  <c:v>28.6</c:v>
                </c:pt>
                <c:pt idx="11">
                  <c:v>26.1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484-4B89-907C-5061A0EEFECD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smooth val="0"/>
        <c:axId val="455810640"/>
        <c:axId val="455817360"/>
      </c:lineChart>
      <c:catAx>
        <c:axId val="4558106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1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55817360"/>
        <c:crosses val="autoZero"/>
        <c:auto val="1"/>
        <c:lblAlgn val="ctr"/>
        <c:lblOffset val="100"/>
        <c:noMultiLvlLbl val="0"/>
      </c:catAx>
      <c:valAx>
        <c:axId val="45581736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Tempéraure (°C)</a:t>
                </a:r>
              </a:p>
            </c:rich>
          </c:tx>
          <c:layout>
            <c:manualLayout>
              <c:xMode val="edge"/>
              <c:yMode val="edge"/>
              <c:x val="2.2222222222222223E-2"/>
              <c:y val="0.2644703266258384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558106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9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12700" cap="flat" cmpd="sng" algn="ctr">
        <a:solidFill>
          <a:schemeClr val="lt1"/>
        </a:solidFill>
        <a:round/>
      </a:ln>
    </cs:spPr>
    <cs:defRPr sz="900" kern="1200" spc="10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238123</xdr:colOff>
      <xdr:row>1</xdr:row>
      <xdr:rowOff>95250</xdr:rowOff>
    </xdr:from>
    <xdr:to>
      <xdr:col>11</xdr:col>
      <xdr:colOff>257174</xdr:colOff>
      <xdr:row>20</xdr:row>
      <xdr:rowOff>133350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845F413-7D87-53D4-D26B-5CBCC2CEBEC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47625</xdr:colOff>
      <xdr:row>0</xdr:row>
      <xdr:rowOff>152400</xdr:rowOff>
    </xdr:from>
    <xdr:to>
      <xdr:col>8</xdr:col>
      <xdr:colOff>742950</xdr:colOff>
      <xdr:row>14</xdr:row>
      <xdr:rowOff>61911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789D92C3-30C9-A07F-A894-202ABBDC014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85725</xdr:colOff>
      <xdr:row>2</xdr:row>
      <xdr:rowOff>33337</xdr:rowOff>
    </xdr:from>
    <xdr:to>
      <xdr:col>15</xdr:col>
      <xdr:colOff>85725</xdr:colOff>
      <xdr:row>16</xdr:row>
      <xdr:rowOff>109537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A27A51C9-93B3-4E94-72C1-34C60EC0E1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4D61BE-4BC4-4048-B153-079696F4D596}">
  <dimension ref="C1:AB8"/>
  <sheetViews>
    <sheetView workbookViewId="0">
      <selection activeCell="O6" sqref="O6"/>
    </sheetView>
  </sheetViews>
  <sheetFormatPr baseColWidth="10" defaultRowHeight="15" x14ac:dyDescent="0.25"/>
  <cols>
    <col min="1" max="1" width="2.42578125" customWidth="1"/>
    <col min="2" max="2" width="20.7109375" customWidth="1"/>
    <col min="3" max="3" width="15.42578125" customWidth="1"/>
    <col min="4" max="4" width="14.5703125" customWidth="1"/>
    <col min="5" max="12" width="5" bestFit="1" customWidth="1"/>
    <col min="13" max="23" width="4" bestFit="1" customWidth="1"/>
    <col min="24" max="28" width="5" bestFit="1" customWidth="1"/>
  </cols>
  <sheetData>
    <row r="1" spans="3:28" ht="30" x14ac:dyDescent="0.25">
      <c r="C1" s="1" t="s">
        <v>0</v>
      </c>
      <c r="D1" t="s">
        <v>1</v>
      </c>
    </row>
    <row r="2" spans="3:28" ht="30" x14ac:dyDescent="0.25">
      <c r="C2" s="1" t="s">
        <v>4</v>
      </c>
      <c r="D2">
        <v>100</v>
      </c>
      <c r="E2">
        <v>100</v>
      </c>
      <c r="F2">
        <v>100</v>
      </c>
      <c r="G2">
        <v>100</v>
      </c>
      <c r="H2">
        <v>100</v>
      </c>
      <c r="I2">
        <v>100</v>
      </c>
      <c r="J2">
        <v>100</v>
      </c>
      <c r="K2">
        <v>100</v>
      </c>
      <c r="X2">
        <v>100</v>
      </c>
      <c r="Y2">
        <v>100</v>
      </c>
      <c r="Z2">
        <v>100</v>
      </c>
      <c r="AA2">
        <v>100</v>
      </c>
      <c r="AB2">
        <v>100</v>
      </c>
    </row>
    <row r="3" spans="3:28" ht="30" x14ac:dyDescent="0.25">
      <c r="C3" s="1" t="s">
        <v>5</v>
      </c>
      <c r="D3">
        <v>100</v>
      </c>
      <c r="E3">
        <v>100</v>
      </c>
      <c r="F3">
        <v>100</v>
      </c>
      <c r="G3">
        <v>100</v>
      </c>
      <c r="H3">
        <v>100</v>
      </c>
      <c r="I3">
        <v>100</v>
      </c>
      <c r="J3">
        <v>100</v>
      </c>
      <c r="K3">
        <v>100</v>
      </c>
      <c r="L3">
        <v>100</v>
      </c>
      <c r="M3">
        <v>100</v>
      </c>
      <c r="N3">
        <v>100</v>
      </c>
      <c r="O3">
        <v>100</v>
      </c>
      <c r="P3">
        <v>100</v>
      </c>
      <c r="Q3">
        <v>100</v>
      </c>
      <c r="R3">
        <v>100</v>
      </c>
      <c r="S3">
        <v>100</v>
      </c>
      <c r="T3">
        <v>100</v>
      </c>
      <c r="U3">
        <v>100</v>
      </c>
      <c r="V3">
        <v>100</v>
      </c>
      <c r="W3">
        <v>100</v>
      </c>
      <c r="X3">
        <v>100</v>
      </c>
      <c r="Y3">
        <v>100</v>
      </c>
      <c r="Z3">
        <v>100</v>
      </c>
      <c r="AA3">
        <v>100</v>
      </c>
      <c r="AB3">
        <v>100</v>
      </c>
    </row>
    <row r="4" spans="3:28" x14ac:dyDescent="0.25">
      <c r="C4" s="1" t="s">
        <v>6</v>
      </c>
      <c r="D4">
        <v>8000</v>
      </c>
      <c r="E4">
        <v>8000</v>
      </c>
      <c r="F4">
        <v>8000</v>
      </c>
      <c r="G4">
        <v>8000</v>
      </c>
      <c r="H4">
        <v>8000</v>
      </c>
      <c r="I4">
        <v>8000</v>
      </c>
      <c r="J4">
        <v>8000</v>
      </c>
      <c r="K4">
        <v>8000</v>
      </c>
      <c r="X4">
        <v>8000</v>
      </c>
      <c r="Y4">
        <v>8000</v>
      </c>
      <c r="Z4">
        <v>8000</v>
      </c>
      <c r="AA4">
        <v>8000</v>
      </c>
      <c r="AB4">
        <v>8000</v>
      </c>
    </row>
    <row r="5" spans="3:28" ht="36.75" customHeight="1" x14ac:dyDescent="0.25">
      <c r="C5" s="1" t="s">
        <v>7</v>
      </c>
      <c r="D5">
        <v>500</v>
      </c>
      <c r="E5">
        <v>500</v>
      </c>
      <c r="F5">
        <v>500</v>
      </c>
      <c r="G5">
        <v>500</v>
      </c>
      <c r="H5">
        <v>500</v>
      </c>
      <c r="I5">
        <v>500</v>
      </c>
      <c r="J5">
        <v>500</v>
      </c>
      <c r="K5">
        <v>500</v>
      </c>
      <c r="X5">
        <v>500</v>
      </c>
      <c r="Y5">
        <v>500</v>
      </c>
      <c r="Z5">
        <v>500</v>
      </c>
      <c r="AA5">
        <v>500</v>
      </c>
      <c r="AB5">
        <v>500</v>
      </c>
    </row>
    <row r="6" spans="3:28" ht="25.5" customHeight="1" x14ac:dyDescent="0.25">
      <c r="C6" s="1" t="s">
        <v>8</v>
      </c>
      <c r="D6">
        <v>460</v>
      </c>
      <c r="E6">
        <v>460</v>
      </c>
      <c r="F6">
        <v>460</v>
      </c>
      <c r="G6">
        <v>460</v>
      </c>
      <c r="H6">
        <v>460</v>
      </c>
      <c r="I6">
        <v>460</v>
      </c>
      <c r="J6">
        <v>460</v>
      </c>
      <c r="K6">
        <v>460</v>
      </c>
      <c r="L6">
        <v>460</v>
      </c>
      <c r="M6">
        <v>460</v>
      </c>
      <c r="N6">
        <v>460</v>
      </c>
      <c r="O6">
        <v>460</v>
      </c>
      <c r="P6">
        <v>460</v>
      </c>
      <c r="Q6">
        <v>460</v>
      </c>
      <c r="R6">
        <v>460</v>
      </c>
      <c r="S6">
        <v>460</v>
      </c>
      <c r="T6">
        <v>460</v>
      </c>
      <c r="U6">
        <v>460</v>
      </c>
      <c r="V6">
        <v>460</v>
      </c>
      <c r="W6">
        <v>460</v>
      </c>
      <c r="X6">
        <v>460</v>
      </c>
      <c r="Y6">
        <v>460</v>
      </c>
      <c r="Z6">
        <v>460</v>
      </c>
      <c r="AA6">
        <v>460</v>
      </c>
      <c r="AB6">
        <v>460</v>
      </c>
    </row>
    <row r="7" spans="3:28" x14ac:dyDescent="0.25">
      <c r="D7" t="s">
        <v>2</v>
      </c>
      <c r="E7">
        <f>+SUM(E$1:E$6)</f>
        <v>9160</v>
      </c>
      <c r="F7">
        <f t="shared" ref="F7:AB7" si="0">+SUM(F$1:F$6)</f>
        <v>9160</v>
      </c>
      <c r="G7">
        <f t="shared" si="0"/>
        <v>9160</v>
      </c>
      <c r="H7">
        <f t="shared" si="0"/>
        <v>9160</v>
      </c>
      <c r="I7">
        <f t="shared" si="0"/>
        <v>9160</v>
      </c>
      <c r="J7">
        <f t="shared" si="0"/>
        <v>9160</v>
      </c>
      <c r="K7">
        <f t="shared" si="0"/>
        <v>9160</v>
      </c>
      <c r="L7">
        <f t="shared" si="0"/>
        <v>560</v>
      </c>
      <c r="M7">
        <f t="shared" si="0"/>
        <v>560</v>
      </c>
      <c r="N7">
        <f t="shared" si="0"/>
        <v>560</v>
      </c>
      <c r="O7">
        <f t="shared" si="0"/>
        <v>560</v>
      </c>
      <c r="P7">
        <f t="shared" si="0"/>
        <v>560</v>
      </c>
      <c r="Q7">
        <f t="shared" si="0"/>
        <v>560</v>
      </c>
      <c r="R7">
        <f t="shared" si="0"/>
        <v>560</v>
      </c>
      <c r="S7">
        <f t="shared" si="0"/>
        <v>560</v>
      </c>
      <c r="T7">
        <f t="shared" si="0"/>
        <v>560</v>
      </c>
      <c r="U7">
        <f t="shared" si="0"/>
        <v>560</v>
      </c>
      <c r="V7">
        <f t="shared" si="0"/>
        <v>560</v>
      </c>
      <c r="W7">
        <f t="shared" si="0"/>
        <v>560</v>
      </c>
      <c r="X7">
        <f t="shared" si="0"/>
        <v>9160</v>
      </c>
      <c r="Y7">
        <f t="shared" si="0"/>
        <v>9160</v>
      </c>
      <c r="Z7">
        <f t="shared" si="0"/>
        <v>9160</v>
      </c>
      <c r="AA7">
        <f t="shared" si="0"/>
        <v>9160</v>
      </c>
      <c r="AB7">
        <f t="shared" si="0"/>
        <v>9160</v>
      </c>
    </row>
    <row r="8" spans="3:28" x14ac:dyDescent="0.25">
      <c r="D8" t="s">
        <v>3</v>
      </c>
      <c r="E8">
        <v>0</v>
      </c>
      <c r="F8">
        <v>1</v>
      </c>
      <c r="G8">
        <f>+F8+1</f>
        <v>2</v>
      </c>
      <c r="H8">
        <f t="shared" ref="H8:AB8" si="1">+G8+1</f>
        <v>3</v>
      </c>
      <c r="I8">
        <f t="shared" si="1"/>
        <v>4</v>
      </c>
      <c r="J8">
        <f t="shared" si="1"/>
        <v>5</v>
      </c>
      <c r="K8">
        <f t="shared" si="1"/>
        <v>6</v>
      </c>
      <c r="L8">
        <f t="shared" si="1"/>
        <v>7</v>
      </c>
      <c r="M8">
        <f t="shared" si="1"/>
        <v>8</v>
      </c>
      <c r="N8">
        <f t="shared" si="1"/>
        <v>9</v>
      </c>
      <c r="O8">
        <f t="shared" si="1"/>
        <v>10</v>
      </c>
      <c r="P8">
        <f t="shared" si="1"/>
        <v>11</v>
      </c>
      <c r="Q8">
        <f t="shared" si="1"/>
        <v>12</v>
      </c>
      <c r="R8">
        <f t="shared" si="1"/>
        <v>13</v>
      </c>
      <c r="S8">
        <f t="shared" si="1"/>
        <v>14</v>
      </c>
      <c r="T8">
        <f t="shared" si="1"/>
        <v>15</v>
      </c>
      <c r="U8">
        <f t="shared" si="1"/>
        <v>16</v>
      </c>
      <c r="V8">
        <f t="shared" si="1"/>
        <v>17</v>
      </c>
      <c r="W8">
        <f t="shared" si="1"/>
        <v>18</v>
      </c>
      <c r="X8">
        <f t="shared" si="1"/>
        <v>19</v>
      </c>
      <c r="Y8">
        <f t="shared" si="1"/>
        <v>20</v>
      </c>
      <c r="Z8">
        <f t="shared" si="1"/>
        <v>21</v>
      </c>
      <c r="AA8">
        <f t="shared" si="1"/>
        <v>22</v>
      </c>
      <c r="AB8">
        <f t="shared" si="1"/>
        <v>23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F3FE1D-705F-4650-8E5A-4FC4419975E9}">
  <dimension ref="A1:N5"/>
  <sheetViews>
    <sheetView tabSelected="1" workbookViewId="0">
      <selection activeCell="A8" sqref="A8:A9"/>
    </sheetView>
  </sheetViews>
  <sheetFormatPr baseColWidth="10" defaultRowHeight="15" x14ac:dyDescent="0.25"/>
  <cols>
    <col min="1" max="1" width="28.28515625" customWidth="1"/>
  </cols>
  <sheetData>
    <row r="1" spans="1:14" x14ac:dyDescent="0.25">
      <c r="A1" s="1" t="s">
        <v>0</v>
      </c>
      <c r="B1" t="s">
        <v>1</v>
      </c>
    </row>
    <row r="2" spans="1:14" x14ac:dyDescent="0.25">
      <c r="A2" s="1" t="s">
        <v>30</v>
      </c>
      <c r="B2">
        <v>3600</v>
      </c>
    </row>
    <row r="3" spans="1:14" x14ac:dyDescent="0.25">
      <c r="A3" s="1" t="s">
        <v>6</v>
      </c>
      <c r="B3">
        <v>96000</v>
      </c>
      <c r="N3">
        <v>2400</v>
      </c>
    </row>
    <row r="4" spans="1:14" ht="18" customHeight="1" x14ac:dyDescent="0.25">
      <c r="A4" s="1" t="s">
        <v>7</v>
      </c>
      <c r="B4">
        <v>6000</v>
      </c>
    </row>
    <row r="5" spans="1:14" x14ac:dyDescent="0.25">
      <c r="A5" s="1" t="s">
        <v>8</v>
      </c>
      <c r="B5">
        <v>11040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4C121D-6370-4337-8C63-06F5025E0469}">
  <dimension ref="A1:H24"/>
  <sheetViews>
    <sheetView workbookViewId="0">
      <selection activeCell="H24" sqref="H24"/>
    </sheetView>
  </sheetViews>
  <sheetFormatPr baseColWidth="10" defaultRowHeight="15" x14ac:dyDescent="0.25"/>
  <cols>
    <col min="2" max="2" width="23.42578125" customWidth="1"/>
    <col min="3" max="3" width="13.7109375" customWidth="1"/>
  </cols>
  <sheetData>
    <row r="1" spans="1:8" ht="28.5" customHeight="1" x14ac:dyDescent="0.25">
      <c r="A1" s="2" t="s">
        <v>9</v>
      </c>
      <c r="B1" s="2" t="s">
        <v>10</v>
      </c>
      <c r="C1" s="2" t="s">
        <v>11</v>
      </c>
      <c r="D1" s="2"/>
      <c r="E1" s="2"/>
      <c r="F1" s="2"/>
      <c r="G1" s="2"/>
      <c r="H1" s="1"/>
    </row>
    <row r="2" spans="1:8" x14ac:dyDescent="0.25">
      <c r="A2" s="2" t="s">
        <v>12</v>
      </c>
      <c r="B2" s="2">
        <v>5.25</v>
      </c>
      <c r="C2" s="2">
        <v>25.3</v>
      </c>
      <c r="D2" s="2"/>
      <c r="E2" s="2"/>
      <c r="F2" s="2"/>
      <c r="G2" s="2"/>
      <c r="H2" s="1"/>
    </row>
    <row r="3" spans="1:8" x14ac:dyDescent="0.25">
      <c r="A3" s="2" t="s">
        <v>13</v>
      </c>
      <c r="B3" s="2">
        <v>5.91</v>
      </c>
      <c r="C3" s="2">
        <v>27.6</v>
      </c>
      <c r="D3" s="2"/>
      <c r="E3" s="2"/>
      <c r="F3" s="2"/>
      <c r="G3" s="2"/>
      <c r="H3" s="1"/>
    </row>
    <row r="4" spans="1:8" x14ac:dyDescent="0.25">
      <c r="A4" s="2" t="s">
        <v>14</v>
      </c>
      <c r="B4" s="2">
        <v>6.51</v>
      </c>
      <c r="C4" s="2">
        <v>30.2</v>
      </c>
      <c r="D4" s="2"/>
      <c r="E4" s="2"/>
      <c r="F4" s="2"/>
      <c r="G4" s="2"/>
      <c r="H4" s="1"/>
    </row>
    <row r="5" spans="1:8" x14ac:dyDescent="0.25">
      <c r="A5" s="2" t="s">
        <v>15</v>
      </c>
      <c r="B5" s="2">
        <v>6.75</v>
      </c>
      <c r="C5" s="2">
        <v>32.6</v>
      </c>
      <c r="D5" s="2"/>
      <c r="E5" s="2"/>
      <c r="F5" s="2"/>
      <c r="G5" s="2"/>
      <c r="H5" s="1"/>
    </row>
    <row r="6" spans="1:8" x14ac:dyDescent="0.25">
      <c r="A6" s="2" t="s">
        <v>16</v>
      </c>
      <c r="B6" s="2">
        <v>6.67</v>
      </c>
      <c r="C6" s="2">
        <v>32.6</v>
      </c>
      <c r="D6" s="2"/>
      <c r="E6" s="2"/>
      <c r="F6" s="2"/>
      <c r="G6" s="2"/>
      <c r="H6" s="1"/>
    </row>
    <row r="7" spans="1:8" x14ac:dyDescent="0.25">
      <c r="A7" s="2" t="s">
        <v>17</v>
      </c>
      <c r="B7" s="2">
        <v>5.9</v>
      </c>
      <c r="C7" s="2">
        <v>28.5</v>
      </c>
      <c r="D7" s="2"/>
      <c r="E7" s="2"/>
      <c r="F7" s="2"/>
      <c r="G7" s="2"/>
      <c r="H7" s="1"/>
    </row>
    <row r="8" spans="1:8" x14ac:dyDescent="0.25">
      <c r="A8" s="2" t="s">
        <v>18</v>
      </c>
      <c r="B8" s="2">
        <v>5.28</v>
      </c>
      <c r="C8" s="2">
        <v>25.6</v>
      </c>
      <c r="D8" s="2"/>
      <c r="E8" s="2"/>
      <c r="F8" s="2"/>
      <c r="G8" s="2"/>
      <c r="H8" s="1"/>
    </row>
    <row r="9" spans="1:8" x14ac:dyDescent="0.25">
      <c r="A9" s="2" t="s">
        <v>19</v>
      </c>
      <c r="B9" s="2">
        <v>5.19</v>
      </c>
      <c r="C9" s="2">
        <v>25.3</v>
      </c>
      <c r="D9" s="2"/>
      <c r="E9" s="2"/>
      <c r="F9" s="2"/>
      <c r="G9" s="2"/>
      <c r="H9" s="1"/>
    </row>
    <row r="10" spans="1:8" x14ac:dyDescent="0.25">
      <c r="A10" s="2" t="s">
        <v>20</v>
      </c>
      <c r="B10" s="2">
        <v>5.35</v>
      </c>
      <c r="C10" s="2">
        <v>25.8</v>
      </c>
      <c r="D10" s="2"/>
      <c r="E10" s="2"/>
      <c r="F10" s="2"/>
      <c r="G10" s="2"/>
      <c r="H10" s="1"/>
    </row>
    <row r="11" spans="1:8" x14ac:dyDescent="0.25">
      <c r="A11" s="2" t="s">
        <v>21</v>
      </c>
      <c r="B11" s="2">
        <v>5.45</v>
      </c>
      <c r="C11" s="2">
        <v>27.6</v>
      </c>
      <c r="D11" s="2"/>
      <c r="E11" s="2"/>
      <c r="F11" s="2"/>
      <c r="G11" s="2"/>
      <c r="H11" s="1"/>
    </row>
    <row r="12" spans="1:8" x14ac:dyDescent="0.25">
      <c r="A12" s="2" t="s">
        <v>22</v>
      </c>
      <c r="B12" s="2">
        <v>5.42</v>
      </c>
      <c r="C12" s="2">
        <v>28.6</v>
      </c>
      <c r="D12" s="2"/>
      <c r="E12" s="2"/>
      <c r="F12" s="2"/>
      <c r="G12" s="2"/>
      <c r="H12" s="1"/>
    </row>
    <row r="13" spans="1:8" x14ac:dyDescent="0.25">
      <c r="A13" s="2" t="s">
        <v>23</v>
      </c>
      <c r="B13" s="2">
        <v>5.1100000000000003</v>
      </c>
      <c r="C13" s="2">
        <v>26.1</v>
      </c>
      <c r="D13" s="2"/>
      <c r="E13" s="2"/>
      <c r="F13" s="2"/>
      <c r="G13" s="2"/>
      <c r="H13" s="1"/>
    </row>
    <row r="14" spans="1:8" x14ac:dyDescent="0.25">
      <c r="A14" s="2"/>
      <c r="B14" s="2"/>
      <c r="C14" s="2"/>
      <c r="D14" s="2"/>
      <c r="E14" s="2"/>
      <c r="F14" s="2"/>
      <c r="G14" s="2"/>
      <c r="H14" s="1"/>
    </row>
    <row r="15" spans="1:8" x14ac:dyDescent="0.25">
      <c r="A15" s="2"/>
      <c r="B15" s="2"/>
      <c r="C15" s="2"/>
      <c r="D15" s="2"/>
      <c r="E15" s="2"/>
      <c r="F15" s="2"/>
      <c r="G15" s="2"/>
      <c r="H15" s="1"/>
    </row>
    <row r="16" spans="1:8" x14ac:dyDescent="0.25">
      <c r="A16" s="2"/>
      <c r="B16" s="2"/>
      <c r="C16" s="2"/>
      <c r="D16" s="2"/>
      <c r="E16" s="2"/>
      <c r="F16" s="2"/>
      <c r="G16" s="2"/>
      <c r="H16" s="1"/>
    </row>
    <row r="17" spans="1:8" x14ac:dyDescent="0.25">
      <c r="A17" s="3"/>
      <c r="B17" s="3"/>
      <c r="C17" s="3"/>
      <c r="D17" s="3"/>
      <c r="E17" s="3"/>
      <c r="F17" s="3"/>
      <c r="G17" s="3"/>
    </row>
    <row r="18" spans="1:8" x14ac:dyDescent="0.25">
      <c r="A18" s="3"/>
      <c r="B18" s="3"/>
      <c r="C18" s="3"/>
      <c r="D18" s="3"/>
      <c r="E18" s="3"/>
      <c r="F18" s="3"/>
      <c r="G18" s="3"/>
    </row>
    <row r="19" spans="1:8" x14ac:dyDescent="0.25">
      <c r="A19" s="3"/>
      <c r="B19" s="3"/>
      <c r="C19" s="3"/>
      <c r="D19" s="3"/>
      <c r="E19" s="3" t="s">
        <v>24</v>
      </c>
      <c r="F19" s="3">
        <f>MAX(B2:B13)</f>
        <v>6.75</v>
      </c>
      <c r="G19" s="3" t="s">
        <v>26</v>
      </c>
      <c r="H19">
        <f>MAX(C2:C13)</f>
        <v>32.6</v>
      </c>
    </row>
    <row r="20" spans="1:8" x14ac:dyDescent="0.25">
      <c r="A20" s="3"/>
      <c r="B20" s="3"/>
      <c r="C20" s="3"/>
      <c r="D20" s="3"/>
      <c r="E20" s="3" t="s">
        <v>25</v>
      </c>
      <c r="F20" s="3">
        <f>MIN(B2:B13)</f>
        <v>5.1100000000000003</v>
      </c>
      <c r="G20" s="3" t="s">
        <v>27</v>
      </c>
      <c r="H20">
        <f>MIN(C2:C13)</f>
        <v>25.3</v>
      </c>
    </row>
    <row r="21" spans="1:8" x14ac:dyDescent="0.25">
      <c r="E21" t="s">
        <v>28</v>
      </c>
      <c r="F21" s="4">
        <f>AVEDEV(B2:B13)</f>
        <v>0.5129166666666668</v>
      </c>
      <c r="G21" t="s">
        <v>28</v>
      </c>
      <c r="H21" s="4">
        <f>AVEDEV(C2:C13)</f>
        <v>2.0972222222222228</v>
      </c>
    </row>
    <row r="22" spans="1:8" x14ac:dyDescent="0.25">
      <c r="F22" s="4">
        <f>STDEV(B2:B13)</f>
        <v>0.60463550252121956</v>
      </c>
      <c r="H22" s="4">
        <f>STDEV(C2:C13)</f>
        <v>2.6436315701678019</v>
      </c>
    </row>
    <row r="24" spans="1:8" x14ac:dyDescent="0.25">
      <c r="E24" t="s">
        <v>29</v>
      </c>
      <c r="F24" s="4">
        <f>AVERAGE(B2:B13)</f>
        <v>5.7325000000000008</v>
      </c>
      <c r="G24" t="s">
        <v>29</v>
      </c>
      <c r="H24" s="4">
        <f>AVERAGE(C2:C13)</f>
        <v>27.983333333333338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PROFILE DE CHARGE</vt:lpstr>
      <vt:lpstr>CONSOMMATION PAR POSTE </vt:lpstr>
      <vt:lpstr>ENSOLEILLEMENT VS MOIS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Founémakan Dembélé</dc:creator>
  <cp:lastModifiedBy>Founémakan Dembélé</cp:lastModifiedBy>
  <dcterms:created xsi:type="dcterms:W3CDTF">2026-03-07T14:23:02Z</dcterms:created>
  <dcterms:modified xsi:type="dcterms:W3CDTF">2026-06-26T17:20:49Z</dcterms:modified>
</cp:coreProperties>
</file>